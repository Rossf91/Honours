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connections.xml" ContentType="application/vnd.openxmlformats-officedocument.spreadsheetml.connections+xml"/>
  <Override PartName="/docProps/core.xml" ContentType="application/vnd.openxmlformats-package.core-properties+xml"/>
  <Default Extension="xml" ContentType="application/xml"/>
  <Override PartName="/xl/queryTables/queryTable4.xml" ContentType="application/vnd.openxmlformats-officedocument.spreadsheetml.queryTable+xml"/>
  <Override PartName="/xl/queryTables/queryTable7.xml" ContentType="application/vnd.openxmlformats-officedocument.spreadsheetml.queryTable+xml"/>
  <Override PartName="/xl/theme/theme1.xml" ContentType="application/vnd.openxmlformats-officedocument.theme+xml"/>
  <Override PartName="/xl/queryTables/queryTable9.xml" ContentType="application/vnd.openxmlformats-officedocument.spreadsheetml.queryTable+xml"/>
  <Override PartName="/docProps/app.xml" ContentType="application/vnd.openxmlformats-officedocument.extended-properties+xml"/>
  <Override PartName="/xl/sharedStrings.xml" ContentType="application/vnd.openxmlformats-officedocument.spreadsheetml.sharedStrings+xml"/>
  <Default Extension="rels" ContentType="application/vnd.openxmlformats-package.relationships+xml"/>
  <Override PartName="/xl/queryTables/queryTable3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11.xml" ContentType="application/vnd.openxmlformats-officedocument.spreadsheetml.queryTable+xml"/>
  <Default Extension="jpeg" ContentType="image/jpeg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queryTables/queryTable1.xml" ContentType="application/vnd.openxmlformats-officedocument.spreadsheetml.queryTable+xml"/>
  <Override PartName="/xl/queryTables/queryTable5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checkCompatibility="1" autoCompressPictures="0"/>
  <bookViews>
    <workbookView xWindow="2780" yWindow="180" windowWidth="23880" windowHeight="16360" tabRatio="500"/>
  </bookViews>
  <sheets>
    <sheet name="Cycle Accurate Calibration" sheetId="1" r:id="rId1"/>
  </sheets>
  <definedNames>
    <definedName name="statistics_1" localSheetId="0">'Cycle Accurate Calibration'!$A$2:$E$33</definedName>
    <definedName name="statistics_10" localSheetId="0">'Cycle Accurate Calibration'!$F$3:$I$33</definedName>
    <definedName name="statistics_12" localSheetId="0">'Cycle Accurate Calibration'!$F$3:$I$33</definedName>
    <definedName name="statistics_14" localSheetId="0">'Cycle Accurate Calibration'!$F$3:$I$33</definedName>
    <definedName name="statistics_16" localSheetId="0">'Cycle Accurate Calibration'!$F$3:$I$33</definedName>
    <definedName name="statistics_18" localSheetId="0">'Cycle Accurate Calibration'!$F$3:$I$33</definedName>
    <definedName name="statistics_2" localSheetId="0">'Cycle Accurate Calibration'!$F$3:$I$33</definedName>
    <definedName name="statistics_20" localSheetId="0">'Cycle Accurate Calibration'!$F$3:$I$33</definedName>
    <definedName name="statistics_22" localSheetId="0">'Cycle Accurate Calibration'!$F$3:$I$33</definedName>
    <definedName name="statistics_4" localSheetId="0">'Cycle Accurate Calibration'!$F$3:$I$33</definedName>
    <definedName name="statistics_7" localSheetId="0">'Cycle Accurate Calibration'!$L$42:$M$42</definedName>
  </definedName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K36" i="1"/>
  <c r="K35"/>
  <c r="M34"/>
  <c r="L34"/>
  <c r="K34"/>
  <c r="J34"/>
  <c r="J3"/>
  <c r="K3"/>
  <c r="J4"/>
  <c r="K4"/>
  <c r="J5"/>
  <c r="K5"/>
  <c r="J6"/>
  <c r="K6"/>
  <c r="J7"/>
  <c r="K7"/>
  <c r="J8"/>
  <c r="K8"/>
  <c r="J9"/>
  <c r="K9"/>
  <c r="J10"/>
  <c r="K10"/>
  <c r="J11"/>
  <c r="K11"/>
  <c r="J12"/>
  <c r="K12"/>
  <c r="J13"/>
  <c r="K13"/>
  <c r="J14"/>
  <c r="K14"/>
  <c r="J15"/>
  <c r="K15"/>
  <c r="J16"/>
  <c r="K16"/>
  <c r="J17"/>
  <c r="K17"/>
  <c r="J18"/>
  <c r="K18"/>
  <c r="J19"/>
  <c r="K19"/>
  <c r="J20"/>
  <c r="K20"/>
  <c r="J21"/>
  <c r="K21"/>
  <c r="J22"/>
  <c r="K22"/>
  <c r="J23"/>
  <c r="K23"/>
  <c r="J24"/>
  <c r="K24"/>
  <c r="J25"/>
  <c r="K25"/>
  <c r="J26"/>
  <c r="K26"/>
  <c r="J27"/>
  <c r="K27"/>
  <c r="J28"/>
  <c r="K28"/>
  <c r="J29"/>
  <c r="K29"/>
  <c r="J30"/>
  <c r="K30"/>
  <c r="J31"/>
  <c r="K31"/>
  <c r="J32"/>
  <c r="K32"/>
  <c r="J33"/>
  <c r="K33"/>
  <c r="B42"/>
  <c r="M3"/>
  <c r="M4"/>
  <c r="M5"/>
  <c r="M6"/>
  <c r="M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8"/>
  <c r="M29"/>
  <c r="M30"/>
  <c r="M31"/>
  <c r="M32"/>
  <c r="M33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</calcChain>
</file>

<file path=xl/connections.xml><?xml version="1.0" encoding="utf-8"?>
<connections xmlns="http://schemas.openxmlformats.org/spreadsheetml/2006/main">
  <connection id="1" name="Connection1" type="6" refreshedVersion="0">
    <textPr fileType="mac" sourceFile="afs:inf.ed.ac.uk:user:s05:s0565052:statistics.csv" comma="1">
      <textFields count="5">
        <textField/>
        <textField/>
        <textField/>
        <textField/>
        <textField/>
      </textFields>
    </textPr>
  </connection>
  <connection id="2" name="Connection11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  <connection id="3" name="Connection14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  <connection id="4" name="Connection17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  <connection id="5" name="Connection19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  <connection id="6" name="Connection2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  <connection id="7" name="Connection21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  <connection id="8" name="Connection3" type="6" refreshedVersion="0">
    <textPr fileType="mac" sourceFile="Macintosh HD:Users:igor:Development:C:benchmark.instances:cfg1.eembc1:statistics.csv" comma="1">
      <textFields count="8">
        <textField/>
        <textField/>
        <textField/>
        <textField/>
        <textField/>
        <textField/>
        <textField/>
        <textField/>
      </textFields>
    </textPr>
  </connection>
  <connection id="9" name="Connection4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  <connection id="10" name="Connection7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  <connection id="11" name="Connection9" type="6" refreshedVersion="0">
    <textPr fileType="mac" sourceFile="Macintosh HD:Users:igor:Development:C:benchmark.instances:cfg1.eembc1:statistics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<sst xmlns="http://schemas.openxmlformats.org/spreadsheetml/2006/main" count="90" uniqueCount="58">
  <si>
    <t>GEOMEAN</t>
    <phoneticPr fontId="3" type="noConversion"/>
  </si>
  <si>
    <t>coremark-20-iter</t>
    <phoneticPr fontId="3" type="noConversion"/>
  </si>
  <si>
    <t>coremark-20-iter</t>
    <phoneticPr fontId="3" type="noConversion"/>
  </si>
  <si>
    <t>Compiler Flags:</t>
    <phoneticPr fontId="3" type="noConversion"/>
  </si>
  <si>
    <t>EC Castle vs. ArcSim 1.0 Cycle Accurate Mode</t>
    <phoneticPr fontId="3" type="noConversion"/>
  </si>
  <si>
    <t>EC Castle: 32k 4-way I$ D$ (short -r3836)</t>
    <phoneticPr fontId="3" type="noConversion"/>
  </si>
  <si>
    <t>Benchmark</t>
    <phoneticPr fontId="3" type="noConversion"/>
  </si>
  <si>
    <t>Cycles</t>
  </si>
  <si>
    <t>I$-Miss</t>
  </si>
  <si>
    <t>D$-Miss</t>
  </si>
  <si>
    <t>I$D$-Miss</t>
  </si>
  <si>
    <t>Rel. Cycle Diff</t>
    <phoneticPr fontId="3" type="noConversion"/>
  </si>
  <si>
    <t>Abs. D$Miss Diff.</t>
    <phoneticPr fontId="3" type="noConversion"/>
  </si>
  <si>
    <t>Abs. I$Miss Diff.</t>
    <phoneticPr fontId="3" type="noConversion"/>
  </si>
  <si>
    <t>a2time01</t>
  </si>
  <si>
    <t>aifftr01</t>
  </si>
  <si>
    <t>aifirf01</t>
  </si>
  <si>
    <t>aiifft01</t>
  </si>
  <si>
    <t>autcor00</t>
  </si>
  <si>
    <t>basefp01</t>
  </si>
  <si>
    <t>bezier01</t>
  </si>
  <si>
    <t>bitmnp01</t>
  </si>
  <si>
    <t>cacheb01</t>
  </si>
  <si>
    <t>canrdr01</t>
  </si>
  <si>
    <t>conven00</t>
  </si>
  <si>
    <t>dither01</t>
  </si>
  <si>
    <t>empty</t>
  </si>
  <si>
    <t>fbital00</t>
  </si>
  <si>
    <t>fft00</t>
  </si>
  <si>
    <t>idctrn01</t>
  </si>
  <si>
    <t>iirflt01</t>
  </si>
  <si>
    <t>ospf</t>
  </si>
  <si>
    <t>pktflow</t>
  </si>
  <si>
    <t>pntrch01</t>
  </si>
  <si>
    <t>puwmod01</t>
  </si>
  <si>
    <t>rgbcmy01</t>
  </si>
  <si>
    <t>rgbhpg01</t>
  </si>
  <si>
    <t>rgbyiq01</t>
  </si>
  <si>
    <t>rotate01</t>
  </si>
  <si>
    <t>routelookup</t>
  </si>
  <si>
    <t>rspeed01</t>
  </si>
  <si>
    <t>tblook01</t>
  </si>
  <si>
    <t>text01</t>
  </si>
  <si>
    <t>ttsprk01</t>
  </si>
  <si>
    <t>viterb00</t>
  </si>
  <si>
    <t>average</t>
    <phoneticPr fontId="3" type="noConversion"/>
  </si>
  <si>
    <t>coremark@iter</t>
    <phoneticPr fontId="3" type="noConversion"/>
  </si>
  <si>
    <t>coremark@20</t>
    <phoneticPr fontId="3" type="noConversion"/>
  </si>
  <si>
    <t>coremark@start</t>
    <phoneticPr fontId="3" type="noConversion"/>
  </si>
  <si>
    <t>coremark@end</t>
    <phoneticPr fontId="3" type="noConversion"/>
  </si>
  <si>
    <t>coremark@score</t>
    <phoneticPr fontId="3" type="noConversion"/>
  </si>
  <si>
    <r>
      <t xml:space="preserve"> -</t>
    </r>
    <r>
      <rPr>
        <sz val="10"/>
        <color indexed="206"/>
        <rFont val="Verdana"/>
      </rPr>
      <t>O3</t>
    </r>
    <r>
      <rPr>
        <sz val="10"/>
        <rFont val="Verdana"/>
      </rPr>
      <t xml:space="preserve"> -</t>
    </r>
    <r>
      <rPr>
        <sz val="10"/>
        <color indexed="207"/>
        <rFont val="Verdana"/>
      </rPr>
      <t>MA7</t>
    </r>
    <phoneticPr fontId="3" type="noConversion"/>
  </si>
  <si>
    <t>Cycles</t>
    <phoneticPr fontId="3" type="noConversion"/>
  </si>
  <si>
    <t>I$-Miss</t>
    <phoneticPr fontId="3" type="noConversion"/>
  </si>
  <si>
    <t>D$-Miss</t>
    <phoneticPr fontId="3" type="noConversion"/>
  </si>
  <si>
    <t>ArcSim 1.0</t>
    <phoneticPr fontId="3" type="noConversion"/>
  </si>
  <si>
    <t>ARITHMEAN</t>
    <phoneticPr fontId="3" type="noConversion"/>
  </si>
  <si>
    <t>Abs. Cycle Diff.</t>
    <phoneticPr fontId="3" type="noConversion"/>
  </si>
</sst>
</file>

<file path=xl/styles.xml><?xml version="1.0" encoding="utf-8"?>
<styleSheet xmlns="http://schemas.openxmlformats.org/spreadsheetml/2006/main">
  <fonts count="8">
    <font>
      <sz val="10"/>
      <name val="Verdana"/>
    </font>
    <font>
      <b/>
      <sz val="10"/>
      <name val="Verdana"/>
    </font>
    <font>
      <sz val="10"/>
      <name val="Verdana"/>
    </font>
    <font>
      <sz val="8"/>
      <name val="Verdana"/>
    </font>
    <font>
      <b/>
      <sz val="14"/>
      <name val="Arial"/>
    </font>
    <font>
      <sz val="10"/>
      <color indexed="206"/>
      <name val="Verdana"/>
    </font>
    <font>
      <sz val="10"/>
      <color indexed="207"/>
      <name val="Verdana"/>
    </font>
    <font>
      <b/>
      <sz val="11"/>
      <name val="Verdana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0" xfId="0" applyFont="1" applyFill="1" applyBorder="1"/>
    <xf numFmtId="0" fontId="1" fillId="2" borderId="1" xfId="0" applyFont="1" applyFill="1" applyBorder="1"/>
    <xf numFmtId="0" fontId="0" fillId="2" borderId="0" xfId="0" applyFill="1" applyBorder="1"/>
    <xf numFmtId="2" fontId="0" fillId="0" borderId="0" xfId="0" applyNumberFormat="1"/>
    <xf numFmtId="0" fontId="1" fillId="0" borderId="0" xfId="0" applyFont="1" applyFill="1" applyBorder="1"/>
    <xf numFmtId="0" fontId="1" fillId="0" borderId="0" xfId="0" applyFont="1"/>
    <xf numFmtId="0" fontId="1" fillId="0" borderId="0" xfId="0" applyFont="1" applyAlignment="1"/>
    <xf numFmtId="0" fontId="1" fillId="4" borderId="0" xfId="0" applyFont="1" applyFill="1"/>
    <xf numFmtId="2" fontId="1" fillId="4" borderId="0" xfId="0" applyNumberFormat="1" applyFont="1" applyFill="1"/>
    <xf numFmtId="0" fontId="0" fillId="3" borderId="0" xfId="0" applyFill="1"/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3" xfId="0" applyFont="1" applyFill="1" applyBorder="1"/>
    <xf numFmtId="2" fontId="1" fillId="5" borderId="0" xfId="0" applyNumberFormat="1" applyFont="1" applyFill="1" applyBorder="1"/>
    <xf numFmtId="0" fontId="1" fillId="0" borderId="2" xfId="0" applyFont="1" applyFill="1" applyBorder="1"/>
    <xf numFmtId="0" fontId="0" fillId="0" borderId="3" xfId="0" applyBorder="1"/>
    <xf numFmtId="0" fontId="1" fillId="0" borderId="3" xfId="0" applyFont="1" applyBorder="1"/>
    <xf numFmtId="2" fontId="1" fillId="5" borderId="3" xfId="0" applyNumberFormat="1" applyFont="1" applyFill="1" applyBorder="1"/>
    <xf numFmtId="0" fontId="0" fillId="2" borderId="0" xfId="0" applyFill="1"/>
    <xf numFmtId="0" fontId="2" fillId="3" borderId="0" xfId="0" applyFont="1" applyFill="1"/>
    <xf numFmtId="0" fontId="0" fillId="6" borderId="0" xfId="0" applyFill="1"/>
    <xf numFmtId="0" fontId="0" fillId="6" borderId="3" xfId="0" applyFill="1" applyBorder="1"/>
    <xf numFmtId="2" fontId="0" fillId="6" borderId="0" xfId="0" applyNumberFormat="1" applyFill="1"/>
    <xf numFmtId="0" fontId="7" fillId="6" borderId="5" xfId="0" applyFont="1" applyFill="1" applyBorder="1" applyAlignment="1">
      <alignment horizontal="center"/>
    </xf>
    <xf numFmtId="2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alcChain" Target="calcChain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connections" Target="connections.xml"/><Relationship Id="rId5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name="statistics_16" connectionId="3" autoFormatId="0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statistics_10" connectionId="6" autoFormatId="0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statistics_22" connectionId="7" autoFormatId="0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statistics_12" connectionId="11" autoFormatId="0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statistics_1" connectionId="1" autoFormatId="0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statistics_2" connectionId="8" autoFormatId="0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name="statistics_7" connectionId="10" autoFormatId="0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name="statistics_14" connectionId="2" autoFormatId="0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name="statistics_4" connectionId="9" autoFormatId="0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name="statistics_20" connectionId="5" autoFormatId="0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name="statistics_18" connectionId="4" autoFormatId="0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4" Type="http://schemas.openxmlformats.org/officeDocument/2006/relationships/queryTable" Target="../queryTables/queryTable4.xml"/><Relationship Id="rId10" Type="http://schemas.openxmlformats.org/officeDocument/2006/relationships/queryTable" Target="../queryTables/queryTable10.xml"/><Relationship Id="rId5" Type="http://schemas.openxmlformats.org/officeDocument/2006/relationships/queryTable" Target="../queryTables/queryTable5.xml"/><Relationship Id="rId7" Type="http://schemas.openxmlformats.org/officeDocument/2006/relationships/queryTable" Target="../queryTables/queryTable7.xml"/><Relationship Id="rId11" Type="http://schemas.openxmlformats.org/officeDocument/2006/relationships/queryTable" Target="../queryTables/queryTable11.xml"/><Relationship Id="rId1" Type="http://schemas.openxmlformats.org/officeDocument/2006/relationships/queryTable" Target="../queryTables/queryTable1.xml"/><Relationship Id="rId2" Type="http://schemas.openxmlformats.org/officeDocument/2006/relationships/queryTable" Target="../queryTables/queryTable2.xml"/><Relationship Id="rId9" Type="http://schemas.openxmlformats.org/officeDocument/2006/relationships/queryTable" Target="../queryTables/queryTable9.xml"/><Relationship Id="rId3" Type="http://schemas.openxmlformats.org/officeDocument/2006/relationships/queryTable" Target="../queryTables/queryTable3.xml"/><Relationship Id="rId6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sheetPr enableFormatConditionsCalculation="0">
    <pageSetUpPr fitToPage="1"/>
  </sheetPr>
  <dimension ref="A1:M43"/>
  <sheetViews>
    <sheetView tabSelected="1" workbookViewId="0">
      <selection activeCell="G43" sqref="G43"/>
    </sheetView>
  </sheetViews>
  <sheetFormatPr baseColWidth="10" defaultRowHeight="13"/>
  <cols>
    <col min="1" max="1" width="14.5703125" bestFit="1" customWidth="1"/>
    <col min="6" max="6" width="13.42578125" bestFit="1" customWidth="1"/>
    <col min="10" max="10" width="12" bestFit="1" customWidth="1"/>
    <col min="11" max="11" width="11.140625" bestFit="1" customWidth="1"/>
    <col min="12" max="12" width="13.28515625" bestFit="1" customWidth="1"/>
    <col min="13" max="13" width="12.85546875" bestFit="1" customWidth="1"/>
  </cols>
  <sheetData>
    <row r="1" spans="1:13" ht="17">
      <c r="A1" s="1" t="s">
        <v>5</v>
      </c>
      <c r="B1" s="2"/>
      <c r="C1" s="2"/>
      <c r="D1" s="2"/>
      <c r="E1" s="2"/>
      <c r="F1" s="15" t="s">
        <v>55</v>
      </c>
      <c r="G1" s="16"/>
      <c r="H1" s="16"/>
      <c r="I1" s="16"/>
      <c r="J1" s="28" t="s">
        <v>4</v>
      </c>
      <c r="K1" s="28"/>
      <c r="L1" s="28"/>
      <c r="M1" s="28"/>
    </row>
    <row r="2" spans="1:13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17" t="s">
        <v>6</v>
      </c>
      <c r="G2" s="17" t="s">
        <v>52</v>
      </c>
      <c r="H2" s="17" t="s">
        <v>53</v>
      </c>
      <c r="I2" s="17" t="s">
        <v>54</v>
      </c>
      <c r="J2" s="26" t="s">
        <v>57</v>
      </c>
      <c r="K2" s="26" t="s">
        <v>11</v>
      </c>
      <c r="L2" s="26" t="s">
        <v>12</v>
      </c>
      <c r="M2" s="26" t="s">
        <v>13</v>
      </c>
    </row>
    <row r="3" spans="1:13">
      <c r="A3" s="6" t="s">
        <v>14</v>
      </c>
      <c r="B3" s="7">
        <v>85486</v>
      </c>
      <c r="C3" s="7">
        <v>286</v>
      </c>
      <c r="D3" s="7">
        <v>159</v>
      </c>
      <c r="E3" s="7">
        <v>5</v>
      </c>
      <c r="F3" s="14" t="s">
        <v>14</v>
      </c>
      <c r="G3" s="14">
        <v>83927</v>
      </c>
      <c r="H3" s="14">
        <v>277</v>
      </c>
      <c r="I3" s="14">
        <v>159</v>
      </c>
      <c r="J3" s="25">
        <f>G3-B3</f>
        <v>-1559</v>
      </c>
      <c r="K3" s="27">
        <f>ABS(J3/B3)*100</f>
        <v>1.8236904288421496</v>
      </c>
      <c r="L3" s="25">
        <f>I3-D3</f>
        <v>0</v>
      </c>
      <c r="M3" s="25">
        <f>H3-C3</f>
        <v>-9</v>
      </c>
    </row>
    <row r="4" spans="1:13">
      <c r="A4" s="6" t="s">
        <v>15</v>
      </c>
      <c r="B4" s="7">
        <v>29310366</v>
      </c>
      <c r="C4" s="7">
        <v>633</v>
      </c>
      <c r="D4" s="7">
        <v>3159</v>
      </c>
      <c r="E4" s="7">
        <v>16</v>
      </c>
      <c r="F4" s="14" t="s">
        <v>15</v>
      </c>
      <c r="G4" s="14">
        <v>28100900</v>
      </c>
      <c r="H4" s="14">
        <v>490</v>
      </c>
      <c r="I4" s="14">
        <v>3212</v>
      </c>
      <c r="J4" s="25">
        <f t="shared" ref="J4:J34" si="0">G4-B4</f>
        <v>-1209466</v>
      </c>
      <c r="K4" s="27">
        <f t="shared" ref="K4:K34" si="1">ABS(J4/B4)*100</f>
        <v>4.1264104310399947</v>
      </c>
      <c r="L4" s="25">
        <f t="shared" ref="L4:L34" si="2">I4-D4</f>
        <v>53</v>
      </c>
      <c r="M4" s="25">
        <f t="shared" ref="M4:M34" si="3">H4-C4</f>
        <v>-143</v>
      </c>
    </row>
    <row r="5" spans="1:13">
      <c r="A5" s="6" t="s">
        <v>16</v>
      </c>
      <c r="B5" s="7">
        <v>93886</v>
      </c>
      <c r="C5" s="7">
        <v>197</v>
      </c>
      <c r="D5" s="7">
        <v>314</v>
      </c>
      <c r="E5" s="7">
        <v>4</v>
      </c>
      <c r="F5" s="14" t="s">
        <v>16</v>
      </c>
      <c r="G5" s="14">
        <v>93183</v>
      </c>
      <c r="H5" s="14">
        <v>191</v>
      </c>
      <c r="I5" s="14">
        <v>314</v>
      </c>
      <c r="J5" s="25">
        <f t="shared" si="0"/>
        <v>-703</v>
      </c>
      <c r="K5" s="27">
        <f t="shared" si="1"/>
        <v>0.74878043584773024</v>
      </c>
      <c r="L5" s="25">
        <f t="shared" si="2"/>
        <v>0</v>
      </c>
      <c r="M5" s="25">
        <f t="shared" si="3"/>
        <v>-6</v>
      </c>
    </row>
    <row r="6" spans="1:13">
      <c r="A6" s="6" t="s">
        <v>17</v>
      </c>
      <c r="B6" s="7">
        <v>29279406</v>
      </c>
      <c r="C6" s="7">
        <v>620</v>
      </c>
      <c r="D6" s="7">
        <v>3234</v>
      </c>
      <c r="E6" s="7">
        <v>23</v>
      </c>
      <c r="F6" s="14" t="s">
        <v>17</v>
      </c>
      <c r="G6" s="14">
        <v>28047135</v>
      </c>
      <c r="H6" s="14">
        <v>479</v>
      </c>
      <c r="I6" s="14">
        <v>3190</v>
      </c>
      <c r="J6" s="25">
        <f t="shared" si="0"/>
        <v>-1232271</v>
      </c>
      <c r="K6" s="27">
        <f t="shared" si="1"/>
        <v>4.2086612002989403</v>
      </c>
      <c r="L6" s="25">
        <f t="shared" si="2"/>
        <v>-44</v>
      </c>
      <c r="M6" s="25">
        <f t="shared" si="3"/>
        <v>-141</v>
      </c>
    </row>
    <row r="7" spans="1:13">
      <c r="A7" s="6" t="s">
        <v>18</v>
      </c>
      <c r="B7" s="7">
        <v>252174</v>
      </c>
      <c r="C7" s="7">
        <v>202</v>
      </c>
      <c r="D7" s="7">
        <v>66</v>
      </c>
      <c r="E7" s="7">
        <v>9</v>
      </c>
      <c r="F7" s="14" t="s">
        <v>18</v>
      </c>
      <c r="G7" s="14">
        <v>255644</v>
      </c>
      <c r="H7" s="14">
        <v>176</v>
      </c>
      <c r="I7" s="14">
        <v>66</v>
      </c>
      <c r="J7" s="25">
        <f t="shared" si="0"/>
        <v>3470</v>
      </c>
      <c r="K7" s="27">
        <f t="shared" si="1"/>
        <v>1.3760340082641351</v>
      </c>
      <c r="L7" s="25">
        <f t="shared" si="2"/>
        <v>0</v>
      </c>
      <c r="M7" s="25">
        <f t="shared" si="3"/>
        <v>-26</v>
      </c>
    </row>
    <row r="8" spans="1:13">
      <c r="A8" s="6" t="s">
        <v>19</v>
      </c>
      <c r="B8" s="7">
        <v>301486</v>
      </c>
      <c r="C8" s="7">
        <v>378</v>
      </c>
      <c r="D8" s="7">
        <v>1057</v>
      </c>
      <c r="E8" s="7">
        <v>8</v>
      </c>
      <c r="F8" s="14" t="s">
        <v>19</v>
      </c>
      <c r="G8" s="14">
        <v>304533</v>
      </c>
      <c r="H8" s="14">
        <v>363</v>
      </c>
      <c r="I8" s="14">
        <v>1064</v>
      </c>
      <c r="J8" s="25">
        <f t="shared" si="0"/>
        <v>3047</v>
      </c>
      <c r="K8" s="27">
        <f t="shared" si="1"/>
        <v>1.01066052818373</v>
      </c>
      <c r="L8" s="25">
        <f t="shared" si="2"/>
        <v>7</v>
      </c>
      <c r="M8" s="25">
        <f t="shared" si="3"/>
        <v>-15</v>
      </c>
    </row>
    <row r="9" spans="1:13">
      <c r="A9" s="6" t="s">
        <v>20</v>
      </c>
      <c r="B9" s="7">
        <v>2319566</v>
      </c>
      <c r="C9" s="7">
        <v>91</v>
      </c>
      <c r="D9" s="7">
        <v>615</v>
      </c>
      <c r="E9" s="7">
        <v>1</v>
      </c>
      <c r="F9" s="14" t="s">
        <v>20</v>
      </c>
      <c r="G9" s="14">
        <v>2359106</v>
      </c>
      <c r="H9" s="14">
        <v>86</v>
      </c>
      <c r="I9" s="14">
        <v>615</v>
      </c>
      <c r="J9" s="25">
        <f t="shared" si="0"/>
        <v>39540</v>
      </c>
      <c r="K9" s="27">
        <f t="shared" si="1"/>
        <v>1.7046292280538686</v>
      </c>
      <c r="L9" s="25">
        <f t="shared" si="2"/>
        <v>0</v>
      </c>
      <c r="M9" s="25">
        <f t="shared" si="3"/>
        <v>-5</v>
      </c>
    </row>
    <row r="10" spans="1:13">
      <c r="A10" s="6" t="s">
        <v>21</v>
      </c>
      <c r="B10" s="7">
        <v>130766</v>
      </c>
      <c r="C10" s="7">
        <v>362</v>
      </c>
      <c r="D10" s="7">
        <v>171</v>
      </c>
      <c r="E10" s="7">
        <v>5</v>
      </c>
      <c r="F10" s="14" t="s">
        <v>21</v>
      </c>
      <c r="G10" s="14">
        <v>119172</v>
      </c>
      <c r="H10" s="14">
        <v>347</v>
      </c>
      <c r="I10" s="14">
        <v>171</v>
      </c>
      <c r="J10" s="25">
        <f t="shared" si="0"/>
        <v>-11594</v>
      </c>
      <c r="K10" s="27">
        <f t="shared" si="1"/>
        <v>8.8662190477647087</v>
      </c>
      <c r="L10" s="25">
        <f t="shared" si="2"/>
        <v>0</v>
      </c>
      <c r="M10" s="25">
        <f t="shared" si="3"/>
        <v>-15</v>
      </c>
    </row>
    <row r="11" spans="1:13">
      <c r="A11" s="6" t="s">
        <v>22</v>
      </c>
      <c r="B11" s="7">
        <v>953070</v>
      </c>
      <c r="C11" s="7">
        <v>155</v>
      </c>
      <c r="D11" s="7">
        <v>3269</v>
      </c>
      <c r="E11" s="7">
        <v>10</v>
      </c>
      <c r="F11" s="14" t="s">
        <v>22</v>
      </c>
      <c r="G11" s="14">
        <v>875263</v>
      </c>
      <c r="H11" s="14">
        <v>149</v>
      </c>
      <c r="I11" s="14">
        <v>3264</v>
      </c>
      <c r="J11" s="25">
        <f t="shared" si="0"/>
        <v>-77807</v>
      </c>
      <c r="K11" s="27">
        <f t="shared" si="1"/>
        <v>8.1638284701018815</v>
      </c>
      <c r="L11" s="25">
        <f t="shared" si="2"/>
        <v>-5</v>
      </c>
      <c r="M11" s="25">
        <f t="shared" si="3"/>
        <v>-6</v>
      </c>
    </row>
    <row r="12" spans="1:13">
      <c r="A12" s="6" t="s">
        <v>23</v>
      </c>
      <c r="B12" s="7">
        <v>98558</v>
      </c>
      <c r="C12" s="7">
        <v>135</v>
      </c>
      <c r="D12" s="7">
        <v>404</v>
      </c>
      <c r="E12" s="7">
        <v>7</v>
      </c>
      <c r="F12" s="14" t="s">
        <v>23</v>
      </c>
      <c r="G12" s="14">
        <v>97967</v>
      </c>
      <c r="H12" s="14">
        <v>130</v>
      </c>
      <c r="I12" s="14">
        <v>404</v>
      </c>
      <c r="J12" s="25">
        <f t="shared" si="0"/>
        <v>-591</v>
      </c>
      <c r="K12" s="27">
        <f t="shared" si="1"/>
        <v>0.59964690841940782</v>
      </c>
      <c r="L12" s="25">
        <f t="shared" si="2"/>
        <v>0</v>
      </c>
      <c r="M12" s="25">
        <f t="shared" si="3"/>
        <v>-5</v>
      </c>
    </row>
    <row r="13" spans="1:13">
      <c r="A13" s="6" t="s">
        <v>24</v>
      </c>
      <c r="B13" s="7">
        <v>109198</v>
      </c>
      <c r="C13" s="7">
        <v>121</v>
      </c>
      <c r="D13" s="7">
        <v>101</v>
      </c>
      <c r="E13" s="7">
        <v>3</v>
      </c>
      <c r="F13" s="14" t="s">
        <v>24</v>
      </c>
      <c r="G13" s="14">
        <v>119878</v>
      </c>
      <c r="H13" s="14">
        <v>115</v>
      </c>
      <c r="I13" s="14">
        <v>101</v>
      </c>
      <c r="J13" s="25">
        <f t="shared" si="0"/>
        <v>10680</v>
      </c>
      <c r="K13" s="27">
        <f t="shared" si="1"/>
        <v>9.7803989084049157</v>
      </c>
      <c r="L13" s="25">
        <f t="shared" si="2"/>
        <v>0</v>
      </c>
      <c r="M13" s="25">
        <f t="shared" si="3"/>
        <v>-6</v>
      </c>
    </row>
    <row r="14" spans="1:13">
      <c r="A14" s="6" t="s">
        <v>25</v>
      </c>
      <c r="B14" s="7">
        <v>5847806</v>
      </c>
      <c r="C14" s="7">
        <v>136</v>
      </c>
      <c r="D14" s="7">
        <v>4863</v>
      </c>
      <c r="E14" s="7">
        <v>7</v>
      </c>
      <c r="F14" s="14" t="s">
        <v>25</v>
      </c>
      <c r="G14" s="14">
        <v>5626043</v>
      </c>
      <c r="H14" s="14">
        <v>130</v>
      </c>
      <c r="I14" s="14">
        <v>4878</v>
      </c>
      <c r="J14" s="25">
        <f t="shared" si="0"/>
        <v>-221763</v>
      </c>
      <c r="K14" s="27">
        <f t="shared" si="1"/>
        <v>3.7922427659193896</v>
      </c>
      <c r="L14" s="25">
        <f t="shared" si="2"/>
        <v>15</v>
      </c>
      <c r="M14" s="25">
        <f t="shared" si="3"/>
        <v>-6</v>
      </c>
    </row>
    <row r="15" spans="1:13">
      <c r="A15" s="6" t="s">
        <v>26</v>
      </c>
      <c r="B15" s="7">
        <v>11454</v>
      </c>
      <c r="C15" s="7">
        <v>62</v>
      </c>
      <c r="D15" s="7">
        <v>13</v>
      </c>
      <c r="E15" s="7">
        <v>0</v>
      </c>
      <c r="F15" s="14" t="s">
        <v>26</v>
      </c>
      <c r="G15" s="14">
        <v>10880</v>
      </c>
      <c r="H15" s="14">
        <v>56</v>
      </c>
      <c r="I15" s="14">
        <v>13</v>
      </c>
      <c r="J15" s="25">
        <f t="shared" si="0"/>
        <v>-574</v>
      </c>
      <c r="K15" s="27">
        <f t="shared" si="1"/>
        <v>5.0113497468133401</v>
      </c>
      <c r="L15" s="25">
        <f t="shared" si="2"/>
        <v>0</v>
      </c>
      <c r="M15" s="25">
        <f t="shared" si="3"/>
        <v>-6</v>
      </c>
    </row>
    <row r="16" spans="1:13">
      <c r="A16" s="6" t="s">
        <v>27</v>
      </c>
      <c r="B16" s="7">
        <v>279982</v>
      </c>
      <c r="C16" s="7">
        <v>133</v>
      </c>
      <c r="D16" s="7">
        <v>69</v>
      </c>
      <c r="E16" s="7">
        <v>4</v>
      </c>
      <c r="F16" s="14" t="s">
        <v>27</v>
      </c>
      <c r="G16" s="14">
        <v>290308</v>
      </c>
      <c r="H16" s="14">
        <v>125</v>
      </c>
      <c r="I16" s="14">
        <v>69</v>
      </c>
      <c r="J16" s="25">
        <f t="shared" si="0"/>
        <v>10326</v>
      </c>
      <c r="K16" s="27">
        <f t="shared" si="1"/>
        <v>3.6880942346293688</v>
      </c>
      <c r="L16" s="25">
        <f t="shared" si="2"/>
        <v>0</v>
      </c>
      <c r="M16" s="25">
        <f t="shared" si="3"/>
        <v>-8</v>
      </c>
    </row>
    <row r="17" spans="1:13">
      <c r="A17" s="6" t="s">
        <v>28</v>
      </c>
      <c r="B17" s="7">
        <v>3784078</v>
      </c>
      <c r="C17" s="7">
        <v>309</v>
      </c>
      <c r="D17" s="7">
        <v>211</v>
      </c>
      <c r="E17" s="7">
        <v>5</v>
      </c>
      <c r="F17" s="14" t="s">
        <v>28</v>
      </c>
      <c r="G17" s="14">
        <v>3744111</v>
      </c>
      <c r="H17" s="14">
        <v>298</v>
      </c>
      <c r="I17" s="14">
        <v>211</v>
      </c>
      <c r="J17" s="25">
        <f t="shared" si="0"/>
        <v>-39967</v>
      </c>
      <c r="K17" s="27">
        <f t="shared" si="1"/>
        <v>1.0561885880787869</v>
      </c>
      <c r="L17" s="25">
        <f t="shared" si="2"/>
        <v>0</v>
      </c>
      <c r="M17" s="25">
        <f t="shared" si="3"/>
        <v>-11</v>
      </c>
    </row>
    <row r="18" spans="1:13">
      <c r="A18" s="6" t="s">
        <v>29</v>
      </c>
      <c r="B18" s="7">
        <v>3948622</v>
      </c>
      <c r="C18" s="7">
        <v>604</v>
      </c>
      <c r="D18" s="7">
        <v>646</v>
      </c>
      <c r="E18" s="7">
        <v>9</v>
      </c>
      <c r="F18" s="14" t="s">
        <v>29</v>
      </c>
      <c r="G18" s="14">
        <v>3808292</v>
      </c>
      <c r="H18" s="14">
        <v>541</v>
      </c>
      <c r="I18" s="14">
        <v>645</v>
      </c>
      <c r="J18" s="25">
        <f t="shared" si="0"/>
        <v>-140330</v>
      </c>
      <c r="K18" s="27">
        <f t="shared" si="1"/>
        <v>3.5538980434186915</v>
      </c>
      <c r="L18" s="25">
        <f t="shared" si="2"/>
        <v>-1</v>
      </c>
      <c r="M18" s="25">
        <f t="shared" si="3"/>
        <v>-63</v>
      </c>
    </row>
    <row r="19" spans="1:13">
      <c r="A19" s="6" t="s">
        <v>30</v>
      </c>
      <c r="B19" s="7">
        <v>112558</v>
      </c>
      <c r="C19" s="7">
        <v>345</v>
      </c>
      <c r="D19" s="7">
        <v>293</v>
      </c>
      <c r="E19" s="7">
        <v>7</v>
      </c>
      <c r="F19" s="14" t="s">
        <v>30</v>
      </c>
      <c r="G19" s="14">
        <v>112792</v>
      </c>
      <c r="H19" s="14">
        <v>329</v>
      </c>
      <c r="I19" s="14">
        <v>293</v>
      </c>
      <c r="J19" s="25">
        <f t="shared" si="0"/>
        <v>234</v>
      </c>
      <c r="K19" s="27">
        <f t="shared" si="1"/>
        <v>0.20789281970184262</v>
      </c>
      <c r="L19" s="25">
        <f t="shared" si="2"/>
        <v>0</v>
      </c>
      <c r="M19" s="25">
        <f t="shared" si="3"/>
        <v>-16</v>
      </c>
    </row>
    <row r="20" spans="1:13">
      <c r="A20" s="6" t="s">
        <v>31</v>
      </c>
      <c r="B20" s="7">
        <v>308030</v>
      </c>
      <c r="C20" s="7">
        <v>153</v>
      </c>
      <c r="D20" s="7">
        <v>936</v>
      </c>
      <c r="E20" s="7">
        <v>7</v>
      </c>
      <c r="F20" s="14" t="s">
        <v>31</v>
      </c>
      <c r="G20" s="14">
        <v>320314</v>
      </c>
      <c r="H20" s="14">
        <v>145</v>
      </c>
      <c r="I20" s="14">
        <v>943</v>
      </c>
      <c r="J20" s="25">
        <f t="shared" si="0"/>
        <v>12284</v>
      </c>
      <c r="K20" s="27">
        <f t="shared" si="1"/>
        <v>3.9879232542284844</v>
      </c>
      <c r="L20" s="25">
        <f t="shared" si="2"/>
        <v>7</v>
      </c>
      <c r="M20" s="25">
        <f t="shared" si="3"/>
        <v>-8</v>
      </c>
    </row>
    <row r="21" spans="1:13">
      <c r="A21" s="6" t="s">
        <v>32</v>
      </c>
      <c r="B21" s="7">
        <v>17278</v>
      </c>
      <c r="C21" s="7">
        <v>91</v>
      </c>
      <c r="D21" s="7">
        <v>20</v>
      </c>
      <c r="E21" s="7">
        <v>1</v>
      </c>
      <c r="F21" s="14" t="s">
        <v>32</v>
      </c>
      <c r="G21" s="14">
        <v>16524</v>
      </c>
      <c r="H21" s="14">
        <v>85</v>
      </c>
      <c r="I21" s="14">
        <v>20</v>
      </c>
      <c r="J21" s="25">
        <f t="shared" si="0"/>
        <v>-754</v>
      </c>
      <c r="K21" s="27">
        <f t="shared" si="1"/>
        <v>4.3639310105336264</v>
      </c>
      <c r="L21" s="25">
        <f t="shared" si="2"/>
        <v>0</v>
      </c>
      <c r="M21" s="25">
        <f t="shared" si="3"/>
        <v>-6</v>
      </c>
    </row>
    <row r="22" spans="1:13">
      <c r="A22" s="6" t="s">
        <v>33</v>
      </c>
      <c r="B22" s="7">
        <v>103854</v>
      </c>
      <c r="C22" s="7">
        <v>164</v>
      </c>
      <c r="D22" s="7">
        <v>373</v>
      </c>
      <c r="E22" s="7">
        <v>9</v>
      </c>
      <c r="F22" s="14" t="s">
        <v>33</v>
      </c>
      <c r="G22" s="14">
        <v>104017</v>
      </c>
      <c r="H22" s="14">
        <v>159</v>
      </c>
      <c r="I22" s="14">
        <v>373</v>
      </c>
      <c r="J22" s="25">
        <f t="shared" si="0"/>
        <v>163</v>
      </c>
      <c r="K22" s="27">
        <f t="shared" si="1"/>
        <v>0.15695110443507232</v>
      </c>
      <c r="L22" s="25">
        <f t="shared" si="2"/>
        <v>0</v>
      </c>
      <c r="M22" s="25">
        <f t="shared" si="3"/>
        <v>-5</v>
      </c>
    </row>
    <row r="23" spans="1:13">
      <c r="A23" s="6" t="s">
        <v>34</v>
      </c>
      <c r="B23" s="7">
        <v>140958</v>
      </c>
      <c r="C23" s="7">
        <v>151</v>
      </c>
      <c r="D23" s="7">
        <v>634</v>
      </c>
      <c r="E23" s="7">
        <v>5</v>
      </c>
      <c r="F23" s="14" t="s">
        <v>34</v>
      </c>
      <c r="G23" s="14">
        <v>143507</v>
      </c>
      <c r="H23" s="14">
        <v>144</v>
      </c>
      <c r="I23" s="14">
        <v>633</v>
      </c>
      <c r="J23" s="25">
        <f t="shared" si="0"/>
        <v>2549</v>
      </c>
      <c r="K23" s="27">
        <f t="shared" si="1"/>
        <v>1.8083400729295251</v>
      </c>
      <c r="L23" s="25">
        <f t="shared" si="2"/>
        <v>-1</v>
      </c>
      <c r="M23" s="25">
        <f t="shared" si="3"/>
        <v>-7</v>
      </c>
    </row>
    <row r="24" spans="1:13">
      <c r="A24" s="6" t="s">
        <v>35</v>
      </c>
      <c r="B24" s="7">
        <v>6495070</v>
      </c>
      <c r="C24" s="7">
        <v>126</v>
      </c>
      <c r="D24" s="7">
        <v>16831</v>
      </c>
      <c r="E24" s="7">
        <v>6</v>
      </c>
      <c r="F24" s="14" t="s">
        <v>35</v>
      </c>
      <c r="G24" s="14">
        <v>6447632</v>
      </c>
      <c r="H24" s="14">
        <v>118</v>
      </c>
      <c r="I24" s="14">
        <v>16830</v>
      </c>
      <c r="J24" s="25">
        <f t="shared" si="0"/>
        <v>-47438</v>
      </c>
      <c r="K24" s="27">
        <f t="shared" si="1"/>
        <v>0.73036934166991274</v>
      </c>
      <c r="L24" s="25">
        <f t="shared" si="2"/>
        <v>-1</v>
      </c>
      <c r="M24" s="25">
        <f t="shared" si="3"/>
        <v>-8</v>
      </c>
    </row>
    <row r="25" spans="1:13">
      <c r="A25" s="6" t="s">
        <v>36</v>
      </c>
      <c r="B25" s="7">
        <v>5723438</v>
      </c>
      <c r="C25" s="7">
        <v>77</v>
      </c>
      <c r="D25" s="7">
        <v>7035</v>
      </c>
      <c r="E25" s="7">
        <v>3</v>
      </c>
      <c r="F25" s="14" t="s">
        <v>36</v>
      </c>
      <c r="G25" s="14">
        <v>5687860</v>
      </c>
      <c r="H25" s="14">
        <v>69</v>
      </c>
      <c r="I25" s="14">
        <v>7048</v>
      </c>
      <c r="J25" s="25">
        <f t="shared" si="0"/>
        <v>-35578</v>
      </c>
      <c r="K25" s="27">
        <f t="shared" si="1"/>
        <v>0.621619383314714</v>
      </c>
      <c r="L25" s="25">
        <f t="shared" si="2"/>
        <v>13</v>
      </c>
      <c r="M25" s="25">
        <f t="shared" si="3"/>
        <v>-8</v>
      </c>
    </row>
    <row r="26" spans="1:13">
      <c r="A26" s="6" t="s">
        <v>37</v>
      </c>
      <c r="B26" s="7">
        <v>8765710</v>
      </c>
      <c r="C26" s="7">
        <v>128</v>
      </c>
      <c r="D26" s="7">
        <v>14429</v>
      </c>
      <c r="E26" s="7">
        <v>4</v>
      </c>
      <c r="F26" s="14" t="s">
        <v>37</v>
      </c>
      <c r="G26" s="14">
        <v>8400837</v>
      </c>
      <c r="H26" s="14">
        <v>121</v>
      </c>
      <c r="I26" s="14">
        <v>14425</v>
      </c>
      <c r="J26" s="25">
        <f t="shared" si="0"/>
        <v>-364873</v>
      </c>
      <c r="K26" s="27">
        <f t="shared" si="1"/>
        <v>4.1625036648485976</v>
      </c>
      <c r="L26" s="25">
        <f t="shared" si="2"/>
        <v>-4</v>
      </c>
      <c r="M26" s="25">
        <f t="shared" si="3"/>
        <v>-7</v>
      </c>
    </row>
    <row r="27" spans="1:13">
      <c r="A27" s="6" t="s">
        <v>38</v>
      </c>
      <c r="B27" s="7">
        <v>1744670</v>
      </c>
      <c r="C27" s="7">
        <v>179</v>
      </c>
      <c r="D27" s="7">
        <v>840</v>
      </c>
      <c r="E27" s="7">
        <v>4</v>
      </c>
      <c r="F27" s="14" t="s">
        <v>38</v>
      </c>
      <c r="G27" s="14">
        <v>1766415</v>
      </c>
      <c r="H27" s="14">
        <v>173</v>
      </c>
      <c r="I27" s="14">
        <v>836</v>
      </c>
      <c r="J27" s="25">
        <f t="shared" si="0"/>
        <v>21745</v>
      </c>
      <c r="K27" s="27">
        <f t="shared" si="1"/>
        <v>1.2463675078954759</v>
      </c>
      <c r="L27" s="25">
        <f t="shared" si="2"/>
        <v>-4</v>
      </c>
      <c r="M27" s="25">
        <f t="shared" si="3"/>
        <v>-6</v>
      </c>
    </row>
    <row r="28" spans="1:13">
      <c r="A28" s="6" t="s">
        <v>39</v>
      </c>
      <c r="B28" s="7">
        <v>438638</v>
      </c>
      <c r="C28" s="7">
        <v>139</v>
      </c>
      <c r="D28" s="7">
        <v>450</v>
      </c>
      <c r="E28" s="7">
        <v>2</v>
      </c>
      <c r="F28" s="14" t="s">
        <v>39</v>
      </c>
      <c r="G28" s="14">
        <v>464389</v>
      </c>
      <c r="H28" s="14">
        <v>134</v>
      </c>
      <c r="I28" s="14">
        <v>450</v>
      </c>
      <c r="J28" s="25">
        <f t="shared" si="0"/>
        <v>25751</v>
      </c>
      <c r="K28" s="27">
        <f t="shared" si="1"/>
        <v>5.8706723995641052</v>
      </c>
      <c r="L28" s="25">
        <f t="shared" si="2"/>
        <v>0</v>
      </c>
      <c r="M28" s="25">
        <f t="shared" si="3"/>
        <v>-5</v>
      </c>
    </row>
    <row r="29" spans="1:13">
      <c r="A29" s="6" t="s">
        <v>40</v>
      </c>
      <c r="B29" s="7">
        <v>50558</v>
      </c>
      <c r="C29" s="7">
        <v>150</v>
      </c>
      <c r="D29" s="7">
        <v>149</v>
      </c>
      <c r="E29" s="7">
        <v>4</v>
      </c>
      <c r="F29" s="14" t="s">
        <v>40</v>
      </c>
      <c r="G29" s="14">
        <v>49851</v>
      </c>
      <c r="H29" s="14">
        <v>143</v>
      </c>
      <c r="I29" s="14">
        <v>149</v>
      </c>
      <c r="J29" s="25">
        <f t="shared" si="0"/>
        <v>-707</v>
      </c>
      <c r="K29" s="27">
        <f t="shared" si="1"/>
        <v>1.3983939238102772</v>
      </c>
      <c r="L29" s="25">
        <f t="shared" si="2"/>
        <v>0</v>
      </c>
      <c r="M29" s="25">
        <f t="shared" si="3"/>
        <v>-7</v>
      </c>
    </row>
    <row r="30" spans="1:13">
      <c r="A30" s="6" t="s">
        <v>41</v>
      </c>
      <c r="B30" s="7">
        <v>128190</v>
      </c>
      <c r="C30" s="7">
        <v>349</v>
      </c>
      <c r="D30" s="7">
        <v>163</v>
      </c>
      <c r="E30" s="7">
        <v>12</v>
      </c>
      <c r="F30" s="14" t="s">
        <v>41</v>
      </c>
      <c r="G30" s="14">
        <v>131303</v>
      </c>
      <c r="H30" s="14">
        <v>340</v>
      </c>
      <c r="I30" s="14">
        <v>163</v>
      </c>
      <c r="J30" s="25">
        <f t="shared" si="0"/>
        <v>3113</v>
      </c>
      <c r="K30" s="27">
        <f t="shared" si="1"/>
        <v>2.4284265543334111</v>
      </c>
      <c r="L30" s="25">
        <f t="shared" si="2"/>
        <v>0</v>
      </c>
      <c r="M30" s="25">
        <f t="shared" si="3"/>
        <v>-9</v>
      </c>
    </row>
    <row r="31" spans="1:13">
      <c r="A31" s="6" t="s">
        <v>42</v>
      </c>
      <c r="B31" s="7">
        <v>2958174</v>
      </c>
      <c r="C31" s="7">
        <v>189</v>
      </c>
      <c r="D31" s="7">
        <v>2354</v>
      </c>
      <c r="E31" s="7">
        <v>10</v>
      </c>
      <c r="F31" s="14" t="s">
        <v>42</v>
      </c>
      <c r="G31" s="14">
        <v>3104988</v>
      </c>
      <c r="H31" s="14">
        <v>179</v>
      </c>
      <c r="I31" s="14">
        <v>2294</v>
      </c>
      <c r="J31" s="25">
        <f t="shared" si="0"/>
        <v>146814</v>
      </c>
      <c r="K31" s="27">
        <f t="shared" si="1"/>
        <v>4.9629940632295462</v>
      </c>
      <c r="L31" s="25">
        <f t="shared" si="2"/>
        <v>-60</v>
      </c>
      <c r="M31" s="25">
        <f t="shared" si="3"/>
        <v>-10</v>
      </c>
    </row>
    <row r="32" spans="1:13">
      <c r="A32" s="6" t="s">
        <v>43</v>
      </c>
      <c r="B32" s="7">
        <v>114654</v>
      </c>
      <c r="C32" s="7">
        <v>200</v>
      </c>
      <c r="D32" s="7">
        <v>489</v>
      </c>
      <c r="E32" s="7">
        <v>6</v>
      </c>
      <c r="F32" s="14" t="s">
        <v>43</v>
      </c>
      <c r="G32" s="14">
        <v>116392</v>
      </c>
      <c r="H32" s="14">
        <v>191</v>
      </c>
      <c r="I32" s="14">
        <v>489</v>
      </c>
      <c r="J32" s="25">
        <f t="shared" si="0"/>
        <v>1738</v>
      </c>
      <c r="K32" s="27">
        <f t="shared" si="1"/>
        <v>1.515865124635861</v>
      </c>
      <c r="L32" s="25">
        <f t="shared" si="2"/>
        <v>0</v>
      </c>
      <c r="M32" s="25">
        <f t="shared" si="3"/>
        <v>-9</v>
      </c>
    </row>
    <row r="33" spans="1:13">
      <c r="A33" s="5" t="s">
        <v>44</v>
      </c>
      <c r="B33" s="7">
        <v>250366</v>
      </c>
      <c r="C33" s="7">
        <v>199</v>
      </c>
      <c r="D33" s="7">
        <v>140</v>
      </c>
      <c r="E33" s="7">
        <v>4</v>
      </c>
      <c r="F33" s="14" t="s">
        <v>44</v>
      </c>
      <c r="G33" s="14">
        <v>279563</v>
      </c>
      <c r="H33" s="14">
        <v>149</v>
      </c>
      <c r="I33" s="14">
        <v>140</v>
      </c>
      <c r="J33" s="25">
        <f t="shared" si="0"/>
        <v>29197</v>
      </c>
      <c r="K33" s="29">
        <f t="shared" si="1"/>
        <v>11.661727231333328</v>
      </c>
      <c r="L33" s="25">
        <f t="shared" si="2"/>
        <v>0</v>
      </c>
      <c r="M33" s="25">
        <f t="shared" si="3"/>
        <v>-50</v>
      </c>
    </row>
    <row r="34" spans="1:13">
      <c r="A34" s="6" t="s">
        <v>1</v>
      </c>
      <c r="B34" s="23">
        <v>10365885</v>
      </c>
      <c r="C34" s="23">
        <v>372</v>
      </c>
      <c r="D34" s="23">
        <v>82</v>
      </c>
      <c r="E34" s="23">
        <v>5</v>
      </c>
      <c r="F34" s="24" t="s">
        <v>2</v>
      </c>
      <c r="G34" s="14">
        <v>10327839</v>
      </c>
      <c r="H34" s="14">
        <v>359</v>
      </c>
      <c r="I34" s="14">
        <v>82</v>
      </c>
      <c r="J34" s="25">
        <f t="shared" si="0"/>
        <v>-38046</v>
      </c>
      <c r="K34" s="27">
        <f t="shared" si="1"/>
        <v>0.36703089027130825</v>
      </c>
      <c r="L34" s="25">
        <f t="shared" si="2"/>
        <v>0</v>
      </c>
      <c r="M34" s="25">
        <f t="shared" si="3"/>
        <v>-13</v>
      </c>
    </row>
    <row r="35" spans="1:13">
      <c r="A35" s="19" t="s">
        <v>45</v>
      </c>
      <c r="B35" s="20"/>
      <c r="C35" s="20"/>
      <c r="D35" s="20"/>
      <c r="E35" s="20"/>
      <c r="F35" s="20"/>
      <c r="G35" s="20"/>
      <c r="H35" s="20"/>
      <c r="I35" s="20"/>
      <c r="J35" s="21" t="s">
        <v>56</v>
      </c>
      <c r="K35" s="22">
        <f>AVERAGE(K3:K34)</f>
        <v>3.2813044162755034</v>
      </c>
      <c r="L35" s="21"/>
      <c r="M35" s="21"/>
    </row>
    <row r="36" spans="1:13">
      <c r="J36" s="10" t="s">
        <v>0</v>
      </c>
      <c r="K36" s="18">
        <f>GEOMEAN(K3:K34)</f>
        <v>2.0518941957444996</v>
      </c>
    </row>
    <row r="38" spans="1:13">
      <c r="A38" s="9" t="s">
        <v>46</v>
      </c>
      <c r="B38">
        <v>20</v>
      </c>
    </row>
    <row r="39" spans="1:13">
      <c r="A39" s="10" t="s">
        <v>47</v>
      </c>
      <c r="B39">
        <v>10365885</v>
      </c>
      <c r="F39" s="10"/>
    </row>
    <row r="40" spans="1:13">
      <c r="A40" s="10" t="s">
        <v>48</v>
      </c>
      <c r="B40">
        <v>40803</v>
      </c>
    </row>
    <row r="41" spans="1:13">
      <c r="A41" s="10" t="s">
        <v>49</v>
      </c>
      <c r="B41">
        <v>10359063</v>
      </c>
      <c r="K41" s="11"/>
      <c r="L41" s="11"/>
      <c r="M41" s="11"/>
    </row>
    <row r="42" spans="1:13">
      <c r="A42" s="12" t="s">
        <v>50</v>
      </c>
      <c r="B42" s="13">
        <f>B38/((B41-B40)/1000000)</f>
        <v>1.9383113044253584</v>
      </c>
      <c r="F42" s="10"/>
      <c r="G42" s="10"/>
    </row>
    <row r="43" spans="1:13">
      <c r="A43" s="10" t="s">
        <v>3</v>
      </c>
      <c r="B43" s="8" t="s">
        <v>51</v>
      </c>
    </row>
  </sheetData>
  <mergeCells count="4">
    <mergeCell ref="A1:E1"/>
    <mergeCell ref="K41:M41"/>
    <mergeCell ref="F1:I1"/>
    <mergeCell ref="J1:M1"/>
  </mergeCells>
  <phoneticPr fontId="3" type="noConversion"/>
  <pageMargins left="0.75000000000000011" right="0.75000000000000011" top="1" bottom="1" header="0.5" footer="0.5"/>
  <pageSetup paperSize="10" scale="69" orientation="landscape" horizontalDpi="4294967292" verticalDpi="4294967292"/>
  <extLst>
    <ext xmlns:mx="http://schemas.microsoft.com/office/mac/excel/2008/main" uri="http://schemas.microsoft.com/office/mac/excel/2008/main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 Accurate Calibration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Bohm</dc:creator>
  <cp:lastModifiedBy>Igor Bohm</cp:lastModifiedBy>
  <cp:lastPrinted>2009-11-03T15:37:56Z</cp:lastPrinted>
  <dcterms:created xsi:type="dcterms:W3CDTF">2009-11-03T10:44:01Z</dcterms:created>
  <dcterms:modified xsi:type="dcterms:W3CDTF">2009-11-03T15:39:03Z</dcterms:modified>
</cp:coreProperties>
</file>